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776\CAP776-GROUP-I-\"/>
    </mc:Choice>
  </mc:AlternateContent>
  <xr:revisionPtr revIDLastSave="0" documentId="13_ncr:1_{66FFF41E-B02C-4CEA-932B-024AEF7A043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9" i="2" l="1"/>
  <c r="J29" i="2" s="1"/>
  <c r="I28" i="2"/>
  <c r="J28" i="2" s="1"/>
  <c r="J7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I6" i="2"/>
  <c r="J6" i="2" l="1"/>
</calcChain>
</file>

<file path=xl/sharedStrings.xml><?xml version="1.0" encoding="utf-8"?>
<sst xmlns="http://schemas.openxmlformats.org/spreadsheetml/2006/main" count="157" uniqueCount="81">
  <si>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</si>
  <si>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</si>
  <si>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</si>
  <si>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</si>
  <si>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</si>
  <si>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</si>
  <si>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</si>
  <si>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</si>
  <si>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</si>
  <si>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</si>
  <si>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</si>
  <si>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</si>
  <si>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</si>
  <si>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</si>
  <si>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</si>
  <si>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</si>
  <si>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</si>
  <si>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</si>
  <si>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</si>
  <si>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</si>
  <si>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</si>
  <si>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</si>
  <si>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</si>
  <si>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</si>
  <si>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</si>
  <si>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</si>
  <si>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</si>
  <si>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</si>
  <si>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</si>
  <si>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</si>
  <si>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</si>
  <si>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</si>
  <si>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</si>
  <si>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</si>
  <si>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</si>
  <si>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</si>
  <si>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</si>
  <si>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</si>
  <si>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</si>
  <si>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</si>
  <si>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</si>
  <si>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</si>
  <si>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</si>
  <si>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</si>
  <si>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</si>
  <si>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</si>
  <si>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</si>
  <si>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</si>
  <si>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</si>
  <si>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</si>
  <si>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</si>
  <si>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</si>
  <si>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</si>
  <si>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</si>
  <si>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Ayush Kumar</t>
  </si>
  <si>
    <t>MCA/D1P2635</t>
  </si>
  <si>
    <t>August</t>
  </si>
  <si>
    <t>Low</t>
  </si>
  <si>
    <t>Neutral</t>
  </si>
  <si>
    <t>Stressed</t>
  </si>
  <si>
    <t>Unsatisfied</t>
  </si>
  <si>
    <t>Relaxed but not Relaxed.</t>
  </si>
  <si>
    <t>Felt a bit tired after evening classes.</t>
  </si>
  <si>
    <t>Felt a bit tired .</t>
  </si>
  <si>
    <t>messed Everything.</t>
  </si>
  <si>
    <t>nothing .</t>
  </si>
  <si>
    <t>productive day.</t>
  </si>
  <si>
    <t>quite good.</t>
  </si>
  <si>
    <t>it was a good day.</t>
  </si>
  <si>
    <t>unique day it was.</t>
  </si>
  <si>
    <t>had regular classes and completed a little study at night.</t>
  </si>
  <si>
    <t>unpredictable dat it was.</t>
  </si>
  <si>
    <t>good  day.</t>
  </si>
  <si>
    <t>nothing.</t>
  </si>
  <si>
    <t>learn something new.</t>
  </si>
  <si>
    <t>felt a bit tired after evening classes.</t>
  </si>
  <si>
    <t>I have done my first presenation on a Topic in PEL class.</t>
  </si>
  <si>
    <t>good day.</t>
  </si>
  <si>
    <t>today I done an interaction session with our dean.</t>
  </si>
  <si>
    <t>…..........</t>
  </si>
  <si>
    <t>Prep for CA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</si>
</sst>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1" activePane="bottomRight" state="frozen"/>
      <selection pane="topRight" activeCell="B1" sqref="B1"/>
      <selection pane="bottomLeft" activeCell="A6" sqref="A6"/>
      <selection pane="bottomRight" activeCell="N31" sqref="N31"/>
    </sheetView>
  </sheetViews>
  <sheetFormatPr defaultColWidth="8.6640625" defaultRowHeight="14.4" x14ac:dyDescent="0.3"/>
  <cols>
    <col min="1" max="1" width="17.6640625" customWidth="1"/>
    <col min="2" max="4" width="11" customWidth="1"/>
    <col min="5" max="5" width="17.21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12610223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46247</v>
      </c>
      <c r="B7" s="14">
        <v>360</v>
      </c>
      <c r="C7" s="14">
        <v>30</v>
      </c>
      <c r="D7" s="14">
        <v>120</v>
      </c>
      <c r="E7" s="14">
        <v>10</v>
      </c>
      <c r="F7" s="14">
        <v>400</v>
      </c>
      <c r="G7" s="14">
        <v>8</v>
      </c>
      <c r="H7" s="14">
        <v>120</v>
      </c>
      <c r="I7" s="15">
        <f t="shared" si="0"/>
        <v>1040</v>
      </c>
      <c r="J7" s="15">
        <f t="shared" si="1"/>
        <v>400</v>
      </c>
      <c r="K7" s="16" t="s">
        <v>57</v>
      </c>
      <c r="L7" s="16" t="s">
        <v>58</v>
      </c>
      <c r="M7" s="16" t="s">
        <v>57</v>
      </c>
      <c r="N7" s="17" t="s">
        <v>62</v>
      </c>
    </row>
    <row r="8" spans="1:14" ht="28.8" x14ac:dyDescent="0.3">
      <c r="A8" s="13">
        <v>46248</v>
      </c>
      <c r="B8" s="14">
        <v>480</v>
      </c>
      <c r="C8" s="14">
        <v>30</v>
      </c>
      <c r="D8" s="14">
        <v>120</v>
      </c>
      <c r="E8" s="14">
        <v>20</v>
      </c>
      <c r="F8" s="14">
        <v>350</v>
      </c>
      <c r="G8" s="14">
        <v>7</v>
      </c>
      <c r="H8" s="14">
        <v>180</v>
      </c>
      <c r="I8" s="15">
        <f t="shared" si="0"/>
        <v>1180</v>
      </c>
      <c r="J8" s="15">
        <f t="shared" si="1"/>
        <v>260</v>
      </c>
      <c r="K8" s="16" t="s">
        <v>59</v>
      </c>
      <c r="L8" s="16" t="s">
        <v>58</v>
      </c>
      <c r="M8" s="16" t="s">
        <v>57</v>
      </c>
      <c r="N8" s="17" t="s">
        <v>62</v>
      </c>
    </row>
    <row r="9" spans="1:14" x14ac:dyDescent="0.3">
      <c r="A9" s="13">
        <v>46249</v>
      </c>
      <c r="B9" s="14">
        <v>480</v>
      </c>
      <c r="C9" s="14">
        <v>20</v>
      </c>
      <c r="D9" s="14">
        <v>240</v>
      </c>
      <c r="E9" s="14">
        <v>60</v>
      </c>
      <c r="F9" s="14">
        <v>0</v>
      </c>
      <c r="G9" s="14">
        <v>0</v>
      </c>
      <c r="H9" s="14">
        <v>180</v>
      </c>
      <c r="I9" s="15">
        <f t="shared" si="0"/>
        <v>980</v>
      </c>
      <c r="J9" s="15">
        <f t="shared" si="1"/>
        <v>460</v>
      </c>
      <c r="K9" s="16" t="s">
        <v>49</v>
      </c>
      <c r="L9" s="16" t="s">
        <v>58</v>
      </c>
      <c r="M9" s="16" t="s">
        <v>51</v>
      </c>
      <c r="N9" s="17" t="s">
        <v>61</v>
      </c>
    </row>
    <row r="10" spans="1:14" x14ac:dyDescent="0.3">
      <c r="A10" s="13">
        <v>46250</v>
      </c>
      <c r="B10" s="14">
        <v>480</v>
      </c>
      <c r="C10" s="14">
        <v>20</v>
      </c>
      <c r="D10" s="14">
        <v>200</v>
      </c>
      <c r="E10" s="14">
        <v>60</v>
      </c>
      <c r="F10" s="14">
        <v>0</v>
      </c>
      <c r="G10" s="14">
        <v>0</v>
      </c>
      <c r="H10" s="14">
        <v>200</v>
      </c>
      <c r="I10" s="15">
        <f t="shared" si="0"/>
        <v>960</v>
      </c>
      <c r="J10" s="15">
        <f t="shared" si="1"/>
        <v>480</v>
      </c>
      <c r="K10" s="16" t="s">
        <v>49</v>
      </c>
      <c r="L10" s="16" t="s">
        <v>60</v>
      </c>
      <c r="M10" s="16" t="s">
        <v>51</v>
      </c>
      <c r="N10" s="17" t="s">
        <v>63</v>
      </c>
    </row>
    <row r="11" spans="1:14" x14ac:dyDescent="0.3">
      <c r="A11" s="13">
        <v>46251</v>
      </c>
      <c r="B11" s="14">
        <v>480</v>
      </c>
      <c r="C11" s="14">
        <v>20</v>
      </c>
      <c r="D11" s="14">
        <v>160</v>
      </c>
      <c r="E11" s="14">
        <v>0</v>
      </c>
      <c r="F11" s="14">
        <v>0</v>
      </c>
      <c r="G11" s="14">
        <v>0</v>
      </c>
      <c r="H11" s="14">
        <v>240</v>
      </c>
      <c r="I11" s="15">
        <f t="shared" si="0"/>
        <v>900</v>
      </c>
      <c r="J11" s="15">
        <f t="shared" si="1"/>
        <v>540</v>
      </c>
      <c r="K11" s="16" t="s">
        <v>59</v>
      </c>
      <c r="L11" s="16" t="s">
        <v>60</v>
      </c>
      <c r="M11" s="16" t="s">
        <v>57</v>
      </c>
      <c r="N11" s="17" t="s">
        <v>61</v>
      </c>
    </row>
    <row r="12" spans="1:14" x14ac:dyDescent="0.3">
      <c r="A12" s="13">
        <v>46252</v>
      </c>
      <c r="B12" s="14">
        <v>360</v>
      </c>
      <c r="C12" s="14">
        <v>30</v>
      </c>
      <c r="D12" s="14">
        <v>60</v>
      </c>
      <c r="E12" s="14">
        <v>15</v>
      </c>
      <c r="F12" s="14">
        <v>400</v>
      </c>
      <c r="G12" s="14">
        <v>8</v>
      </c>
      <c r="H12" s="14">
        <v>120</v>
      </c>
      <c r="I12" s="15">
        <f t="shared" si="0"/>
        <v>985</v>
      </c>
      <c r="J12" s="15">
        <f t="shared" si="1"/>
        <v>455</v>
      </c>
      <c r="K12" s="16" t="s">
        <v>58</v>
      </c>
      <c r="L12" s="16" t="s">
        <v>58</v>
      </c>
      <c r="M12" s="16" t="s">
        <v>51</v>
      </c>
      <c r="N12" s="17" t="s">
        <v>64</v>
      </c>
    </row>
    <row r="13" spans="1:14" x14ac:dyDescent="0.3">
      <c r="A13" s="13">
        <v>46253</v>
      </c>
      <c r="B13" s="14">
        <v>360</v>
      </c>
      <c r="C13" s="14">
        <v>0</v>
      </c>
      <c r="D13" s="14">
        <v>120</v>
      </c>
      <c r="E13" s="14">
        <v>0</v>
      </c>
      <c r="F13" s="14">
        <v>200</v>
      </c>
      <c r="G13" s="14">
        <v>4</v>
      </c>
      <c r="H13" s="14">
        <v>200</v>
      </c>
      <c r="I13" s="15">
        <f t="shared" si="0"/>
        <v>880</v>
      </c>
      <c r="J13" s="15">
        <f t="shared" si="1"/>
        <v>560</v>
      </c>
      <c r="K13" s="16" t="s">
        <v>49</v>
      </c>
      <c r="L13" s="16" t="s">
        <v>58</v>
      </c>
      <c r="M13" s="16" t="s">
        <v>57</v>
      </c>
      <c r="N13" s="17" t="s">
        <v>65</v>
      </c>
    </row>
    <row r="14" spans="1:14" x14ac:dyDescent="0.3">
      <c r="A14" s="13">
        <v>46254</v>
      </c>
      <c r="B14" s="14">
        <v>330</v>
      </c>
      <c r="C14" s="14">
        <v>30</v>
      </c>
      <c r="D14" s="14">
        <v>60</v>
      </c>
      <c r="E14" s="14">
        <v>45</v>
      </c>
      <c r="F14" s="14">
        <v>300</v>
      </c>
      <c r="G14" s="14">
        <v>6</v>
      </c>
      <c r="H14" s="14">
        <v>200</v>
      </c>
      <c r="I14" s="15">
        <f t="shared" si="0"/>
        <v>965</v>
      </c>
      <c r="J14" s="15">
        <f t="shared" si="1"/>
        <v>475</v>
      </c>
      <c r="K14" s="16" t="s">
        <v>57</v>
      </c>
      <c r="L14" s="16" t="s">
        <v>58</v>
      </c>
      <c r="M14" s="16" t="s">
        <v>51</v>
      </c>
      <c r="N14" s="17" t="s">
        <v>66</v>
      </c>
    </row>
    <row r="15" spans="1:14" x14ac:dyDescent="0.3">
      <c r="A15" s="13">
        <v>46255</v>
      </c>
      <c r="B15" s="14">
        <v>300</v>
      </c>
      <c r="C15" s="14">
        <v>20</v>
      </c>
      <c r="D15" s="14">
        <v>180</v>
      </c>
      <c r="E15" s="14">
        <v>0</v>
      </c>
      <c r="F15" s="14">
        <v>350</v>
      </c>
      <c r="G15" s="14">
        <v>7</v>
      </c>
      <c r="H15" s="14">
        <v>60</v>
      </c>
      <c r="I15" s="15">
        <f t="shared" si="0"/>
        <v>910</v>
      </c>
      <c r="J15" s="15">
        <f t="shared" si="1"/>
        <v>530</v>
      </c>
      <c r="K15" s="16" t="s">
        <v>58</v>
      </c>
      <c r="L15" s="16" t="s">
        <v>58</v>
      </c>
      <c r="M15" s="16" t="s">
        <v>51</v>
      </c>
      <c r="N15" s="17" t="s">
        <v>66</v>
      </c>
    </row>
    <row r="16" spans="1:14" x14ac:dyDescent="0.3">
      <c r="A16" s="13">
        <v>46256</v>
      </c>
      <c r="B16" s="14">
        <v>300</v>
      </c>
      <c r="C16" s="14">
        <v>20</v>
      </c>
      <c r="D16" s="14">
        <v>150</v>
      </c>
      <c r="E16" s="14">
        <v>20</v>
      </c>
      <c r="F16" s="14">
        <v>0</v>
      </c>
      <c r="G16" s="14">
        <v>0</v>
      </c>
      <c r="H16" s="14">
        <v>120</v>
      </c>
      <c r="I16" s="15">
        <f t="shared" si="0"/>
        <v>610</v>
      </c>
      <c r="J16" s="15">
        <f t="shared" si="1"/>
        <v>830</v>
      </c>
      <c r="K16" s="16" t="s">
        <v>58</v>
      </c>
      <c r="L16" s="16" t="s">
        <v>58</v>
      </c>
      <c r="M16" s="16" t="s">
        <v>51</v>
      </c>
      <c r="N16" s="17" t="s">
        <v>67</v>
      </c>
    </row>
    <row r="17" spans="1:14" x14ac:dyDescent="0.3">
      <c r="A17" s="13">
        <v>46257</v>
      </c>
      <c r="B17" s="14">
        <v>360</v>
      </c>
      <c r="C17" s="14">
        <v>0</v>
      </c>
      <c r="D17" s="14">
        <v>120</v>
      </c>
      <c r="E17" s="14">
        <v>25</v>
      </c>
      <c r="F17" s="14">
        <v>0</v>
      </c>
      <c r="G17" s="14">
        <v>0</v>
      </c>
      <c r="H17" s="14">
        <v>120</v>
      </c>
      <c r="I17" s="15">
        <f t="shared" si="0"/>
        <v>625</v>
      </c>
      <c r="J17" s="15">
        <f t="shared" si="1"/>
        <v>815</v>
      </c>
      <c r="K17" s="16" t="s">
        <v>49</v>
      </c>
      <c r="L17" s="16" t="s">
        <v>58</v>
      </c>
      <c r="M17" s="16" t="s">
        <v>51</v>
      </c>
      <c r="N17" s="17" t="s">
        <v>68</v>
      </c>
    </row>
    <row r="18" spans="1:14" x14ac:dyDescent="0.3">
      <c r="A18" s="13">
        <v>46258</v>
      </c>
      <c r="B18" s="14">
        <v>420</v>
      </c>
      <c r="C18" s="14">
        <v>20</v>
      </c>
      <c r="D18" s="14">
        <v>120</v>
      </c>
      <c r="E18" s="14">
        <v>45</v>
      </c>
      <c r="F18" s="14">
        <v>100</v>
      </c>
      <c r="G18" s="14">
        <v>2</v>
      </c>
      <c r="H18" s="14">
        <v>60</v>
      </c>
      <c r="I18" s="15">
        <f t="shared" si="0"/>
        <v>765</v>
      </c>
      <c r="J18" s="15">
        <f t="shared" si="1"/>
        <v>675</v>
      </c>
      <c r="K18" s="16" t="s">
        <v>49</v>
      </c>
      <c r="L18" s="16" t="s">
        <v>50</v>
      </c>
      <c r="M18" s="16" t="s">
        <v>51</v>
      </c>
      <c r="N18" s="17" t="s">
        <v>69</v>
      </c>
    </row>
    <row r="19" spans="1:14" x14ac:dyDescent="0.3">
      <c r="A19" s="13">
        <v>46259</v>
      </c>
      <c r="B19" s="14">
        <v>300</v>
      </c>
      <c r="C19" s="14">
        <v>25</v>
      </c>
      <c r="D19" s="14">
        <v>150</v>
      </c>
      <c r="E19" s="14">
        <v>60</v>
      </c>
      <c r="F19" s="14">
        <v>350</v>
      </c>
      <c r="G19" s="14">
        <v>7</v>
      </c>
      <c r="H19" s="14">
        <v>120</v>
      </c>
      <c r="I19" s="15">
        <f t="shared" si="0"/>
        <v>1005</v>
      </c>
      <c r="J19" s="15">
        <f t="shared" si="1"/>
        <v>435</v>
      </c>
      <c r="K19" s="16" t="s">
        <v>49</v>
      </c>
      <c r="L19" s="16" t="s">
        <v>58</v>
      </c>
      <c r="M19" s="16" t="s">
        <v>51</v>
      </c>
      <c r="N19" s="17" t="s">
        <v>66</v>
      </c>
    </row>
    <row r="20" spans="1:14" ht="28.8" x14ac:dyDescent="0.3">
      <c r="A20" s="13">
        <v>46260</v>
      </c>
      <c r="B20" s="14">
        <v>300</v>
      </c>
      <c r="C20" s="14">
        <v>40</v>
      </c>
      <c r="D20" s="14">
        <v>120</v>
      </c>
      <c r="E20" s="14">
        <v>20</v>
      </c>
      <c r="F20" s="14">
        <v>200</v>
      </c>
      <c r="G20" s="14">
        <v>4</v>
      </c>
      <c r="H20" s="14">
        <v>180</v>
      </c>
      <c r="I20" s="15">
        <f t="shared" si="0"/>
        <v>860</v>
      </c>
      <c r="J20" s="15">
        <f t="shared" si="1"/>
        <v>580</v>
      </c>
      <c r="K20" s="16" t="s">
        <v>58</v>
      </c>
      <c r="L20" s="16" t="s">
        <v>58</v>
      </c>
      <c r="M20" s="16" t="s">
        <v>57</v>
      </c>
      <c r="N20" s="17" t="s">
        <v>70</v>
      </c>
    </row>
    <row r="21" spans="1:14" ht="28.8" x14ac:dyDescent="0.3">
      <c r="A21" s="13">
        <v>46261</v>
      </c>
      <c r="B21" s="14">
        <v>300</v>
      </c>
      <c r="C21" s="14">
        <v>40</v>
      </c>
      <c r="D21" s="14">
        <v>180</v>
      </c>
      <c r="E21" s="14">
        <v>30</v>
      </c>
      <c r="F21" s="14">
        <v>350</v>
      </c>
      <c r="G21" s="14">
        <v>7</v>
      </c>
      <c r="H21" s="14">
        <v>200</v>
      </c>
      <c r="I21" s="15">
        <f t="shared" si="0"/>
        <v>1100</v>
      </c>
      <c r="J21" s="15">
        <f t="shared" si="1"/>
        <v>340</v>
      </c>
      <c r="K21" s="16" t="s">
        <v>49</v>
      </c>
      <c r="L21" s="16" t="s">
        <v>58</v>
      </c>
      <c r="M21" s="16" t="s">
        <v>51</v>
      </c>
      <c r="N21" s="17" t="s">
        <v>70</v>
      </c>
    </row>
    <row r="22" spans="1:14" x14ac:dyDescent="0.3">
      <c r="A22" s="13">
        <v>46262</v>
      </c>
      <c r="B22" s="14">
        <v>300</v>
      </c>
      <c r="C22" s="14">
        <v>40</v>
      </c>
      <c r="D22" s="14">
        <v>180</v>
      </c>
      <c r="E22" s="14">
        <v>30</v>
      </c>
      <c r="F22" s="14">
        <v>150</v>
      </c>
      <c r="G22" s="14">
        <v>3</v>
      </c>
      <c r="H22" s="14">
        <v>120</v>
      </c>
      <c r="I22" s="15">
        <f t="shared" si="0"/>
        <v>820</v>
      </c>
      <c r="J22" s="15">
        <f t="shared" si="1"/>
        <v>620</v>
      </c>
      <c r="K22" s="16" t="s">
        <v>58</v>
      </c>
      <c r="L22" s="16" t="s">
        <v>58</v>
      </c>
      <c r="M22" s="16" t="s">
        <v>51</v>
      </c>
      <c r="N22" s="17" t="s">
        <v>71</v>
      </c>
    </row>
    <row r="23" spans="1:14" x14ac:dyDescent="0.3">
      <c r="A23" s="13">
        <v>46263</v>
      </c>
      <c r="B23" s="14">
        <v>300</v>
      </c>
      <c r="C23" s="14">
        <v>0</v>
      </c>
      <c r="D23" s="14">
        <v>180</v>
      </c>
      <c r="E23" s="14">
        <v>20</v>
      </c>
      <c r="F23" s="14">
        <v>0</v>
      </c>
      <c r="G23" s="14">
        <v>0</v>
      </c>
      <c r="H23" s="14">
        <v>180</v>
      </c>
      <c r="I23" s="15">
        <f t="shared" si="0"/>
        <v>680</v>
      </c>
      <c r="J23" s="15">
        <f t="shared" si="1"/>
        <v>760</v>
      </c>
      <c r="K23" s="16" t="s">
        <v>58</v>
      </c>
      <c r="L23" s="16" t="s">
        <v>50</v>
      </c>
      <c r="M23" s="16" t="s">
        <v>51</v>
      </c>
      <c r="N23" s="17" t="s">
        <v>72</v>
      </c>
    </row>
    <row r="24" spans="1:14" x14ac:dyDescent="0.3">
      <c r="A24" s="13">
        <v>46264</v>
      </c>
      <c r="B24" s="14">
        <v>360</v>
      </c>
      <c r="C24" s="14">
        <v>15</v>
      </c>
      <c r="D24" s="14">
        <v>240</v>
      </c>
      <c r="E24" s="14">
        <v>0</v>
      </c>
      <c r="F24" s="14">
        <v>0</v>
      </c>
      <c r="G24" s="14">
        <v>0</v>
      </c>
      <c r="H24" s="14">
        <v>120</v>
      </c>
      <c r="I24" s="15">
        <f t="shared" si="0"/>
        <v>735</v>
      </c>
      <c r="J24" s="15">
        <f t="shared" si="1"/>
        <v>705</v>
      </c>
      <c r="K24" s="16" t="s">
        <v>58</v>
      </c>
      <c r="L24" s="16" t="s">
        <v>58</v>
      </c>
      <c r="M24" s="16" t="s">
        <v>51</v>
      </c>
      <c r="N24" s="17" t="s">
        <v>73</v>
      </c>
    </row>
    <row r="25" spans="1:14" x14ac:dyDescent="0.3">
      <c r="A25" s="13">
        <v>46265</v>
      </c>
      <c r="B25" s="14">
        <v>360</v>
      </c>
      <c r="C25" s="14">
        <v>0</v>
      </c>
      <c r="D25" s="14">
        <v>120</v>
      </c>
      <c r="E25" s="14">
        <v>25</v>
      </c>
      <c r="F25" s="14">
        <v>100</v>
      </c>
      <c r="G25" s="14">
        <v>2</v>
      </c>
      <c r="H25" s="14">
        <v>180</v>
      </c>
      <c r="I25" s="15">
        <f t="shared" si="0"/>
        <v>785</v>
      </c>
      <c r="J25" s="15">
        <f t="shared" si="1"/>
        <v>655</v>
      </c>
      <c r="K25" s="16" t="s">
        <v>58</v>
      </c>
      <c r="L25" s="16" t="s">
        <v>58</v>
      </c>
      <c r="M25" s="16" t="s">
        <v>51</v>
      </c>
      <c r="N25" s="17" t="s">
        <v>74</v>
      </c>
    </row>
    <row r="26" spans="1:14" ht="28.8" x14ac:dyDescent="0.3">
      <c r="A26" s="13">
        <v>46266</v>
      </c>
      <c r="B26" s="14">
        <v>360</v>
      </c>
      <c r="C26" s="14">
        <v>40</v>
      </c>
      <c r="D26" s="14">
        <v>180</v>
      </c>
      <c r="E26" s="14">
        <v>40</v>
      </c>
      <c r="F26" s="14">
        <v>350</v>
      </c>
      <c r="G26" s="14">
        <v>7</v>
      </c>
      <c r="H26" s="14">
        <v>120</v>
      </c>
      <c r="I26" s="15">
        <f t="shared" si="0"/>
        <v>1090</v>
      </c>
      <c r="J26" s="15">
        <f t="shared" si="1"/>
        <v>350</v>
      </c>
      <c r="K26" s="16" t="s">
        <v>58</v>
      </c>
      <c r="L26" s="16" t="s">
        <v>50</v>
      </c>
      <c r="M26" s="16" t="s">
        <v>57</v>
      </c>
      <c r="N26" s="17" t="s">
        <v>75</v>
      </c>
    </row>
    <row r="27" spans="1:14" ht="28.8" x14ac:dyDescent="0.3">
      <c r="A27" s="13">
        <v>46267</v>
      </c>
      <c r="B27" s="14">
        <v>300</v>
      </c>
      <c r="C27" s="14">
        <v>40</v>
      </c>
      <c r="D27" s="14">
        <v>240</v>
      </c>
      <c r="E27" s="14">
        <v>30</v>
      </c>
      <c r="F27" s="14">
        <v>200</v>
      </c>
      <c r="G27" s="14">
        <v>4</v>
      </c>
      <c r="H27" s="14">
        <v>120</v>
      </c>
      <c r="I27" s="15">
        <f t="shared" si="0"/>
        <v>930</v>
      </c>
      <c r="J27" s="15">
        <f t="shared" si="1"/>
        <v>510</v>
      </c>
      <c r="K27" s="16" t="s">
        <v>49</v>
      </c>
      <c r="L27" s="16" t="s">
        <v>58</v>
      </c>
      <c r="M27" s="16" t="s">
        <v>51</v>
      </c>
      <c r="N27" s="17" t="s">
        <v>76</v>
      </c>
    </row>
    <row r="28" spans="1:14" x14ac:dyDescent="0.3">
      <c r="A28" s="13">
        <v>46268</v>
      </c>
      <c r="B28" s="14">
        <v>360</v>
      </c>
      <c r="C28" s="14">
        <v>40</v>
      </c>
      <c r="D28" s="14">
        <v>180</v>
      </c>
      <c r="E28" s="14">
        <v>30</v>
      </c>
      <c r="F28" s="14">
        <v>350</v>
      </c>
      <c r="G28" s="14">
        <v>7</v>
      </c>
      <c r="H28" s="14">
        <v>120</v>
      </c>
      <c r="I28" s="15">
        <f t="shared" si="0"/>
        <v>1080</v>
      </c>
      <c r="J28" s="15">
        <f t="shared" si="1"/>
        <v>360</v>
      </c>
      <c r="K28" s="16" t="s">
        <v>58</v>
      </c>
      <c r="L28" s="16" t="s">
        <v>50</v>
      </c>
      <c r="M28" s="16" t="s">
        <v>51</v>
      </c>
      <c r="N28" s="17" t="s">
        <v>77</v>
      </c>
    </row>
    <row r="29" spans="1:14" ht="28.8" x14ac:dyDescent="0.3">
      <c r="A29" s="13">
        <v>46269</v>
      </c>
      <c r="B29" s="14">
        <v>300</v>
      </c>
      <c r="C29" s="14">
        <v>40</v>
      </c>
      <c r="D29" s="14">
        <v>180</v>
      </c>
      <c r="E29" s="14">
        <v>30</v>
      </c>
      <c r="F29" s="14">
        <v>250</v>
      </c>
      <c r="G29" s="14">
        <v>5</v>
      </c>
      <c r="H29" s="14">
        <v>120</v>
      </c>
      <c r="I29" s="15">
        <f t="shared" ref="I29" si="2">IF(SUM(B29:F29,H29)=0,"",SUM(B29:F29,H29))</f>
        <v>920</v>
      </c>
      <c r="J29" s="15">
        <f t="shared" ref="J29" si="3">IF(I29="","",1440-I29)</f>
        <v>520</v>
      </c>
      <c r="K29" s="16" t="s">
        <v>58</v>
      </c>
      <c r="L29" s="16" t="s">
        <v>58</v>
      </c>
      <c r="M29" s="16" t="s">
        <v>51</v>
      </c>
      <c r="N29" s="17" t="s">
        <v>78</v>
      </c>
    </row>
    <row r="30" spans="1:14" x14ac:dyDescent="0.3">
      <c r="A30" s="13">
        <v>46270</v>
      </c>
      <c r="B30" s="14">
        <v>360</v>
      </c>
      <c r="C30" s="14">
        <v>20</v>
      </c>
      <c r="D30" s="14">
        <v>150</v>
      </c>
      <c r="E30" s="14">
        <v>20</v>
      </c>
      <c r="F30" s="14">
        <v>50</v>
      </c>
      <c r="G30" s="14">
        <v>1</v>
      </c>
      <c r="H30" s="14">
        <v>180</v>
      </c>
      <c r="I30" s="15">
        <f t="shared" si="0"/>
        <v>780</v>
      </c>
      <c r="J30" s="15">
        <f t="shared" si="1"/>
        <v>660</v>
      </c>
      <c r="K30" s="16" t="s">
        <v>57</v>
      </c>
      <c r="L30" s="16" t="s">
        <v>60</v>
      </c>
      <c r="M30" s="16" t="s">
        <v>51</v>
      </c>
      <c r="N30" s="17" t="s">
        <v>79</v>
      </c>
    </row>
    <row r="31" spans="1:14" x14ac:dyDescent="0.3">
      <c r="A31" s="13">
        <v>46271</v>
      </c>
      <c r="B31" s="14">
        <v>360</v>
      </c>
      <c r="C31" s="14">
        <v>0</v>
      </c>
      <c r="D31" s="14">
        <v>120</v>
      </c>
      <c r="E31" s="14">
        <v>0</v>
      </c>
      <c r="F31" s="14">
        <v>0</v>
      </c>
      <c r="G31" s="14">
        <v>0</v>
      </c>
      <c r="H31" s="14">
        <v>180</v>
      </c>
      <c r="I31" s="15">
        <f t="shared" si="0"/>
        <v>660</v>
      </c>
      <c r="J31" s="15">
        <f t="shared" si="1"/>
        <v>780</v>
      </c>
      <c r="K31" s="16" t="s">
        <v>49</v>
      </c>
      <c r="L31" s="16" t="s">
        <v>58</v>
      </c>
      <c r="M31" s="16" t="s">
        <v>51</v>
      </c>
      <c r="N31" s="17" t="s">
        <v>80</v>
      </c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4">IF(SUM(B70:F70,H70)=0,"",SUM(B70:F70,H70))</f>
        <v/>
      </c>
      <c r="J70" s="15" t="str">
        <f t="shared" ref="J70:J133" si="5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4"/>
        <v/>
      </c>
      <c r="J71" s="15" t="str">
        <f t="shared" si="5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4"/>
        <v/>
      </c>
      <c r="J72" s="15" t="str">
        <f t="shared" si="5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4"/>
        <v/>
      </c>
      <c r="J73" s="15" t="str">
        <f t="shared" si="5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4"/>
        <v/>
      </c>
      <c r="J74" s="15" t="str">
        <f t="shared" si="5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4"/>
        <v/>
      </c>
      <c r="J75" s="15" t="str">
        <f t="shared" si="5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4"/>
        <v/>
      </c>
      <c r="J76" s="15" t="str">
        <f t="shared" si="5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4"/>
        <v/>
      </c>
      <c r="J77" s="15" t="str">
        <f t="shared" si="5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4"/>
        <v/>
      </c>
      <c r="J78" s="15" t="str">
        <f t="shared" si="5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5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5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si="5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6">IF(SUM(B134:F134,H134)=0,"",SUM(B134:F134,H134))</f>
        <v/>
      </c>
      <c r="J134" s="15" t="str">
        <f t="shared" ref="J134:J197" si="7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8">IF(SUM(B198:F198,H198)=0,"",SUM(B198:F198,H198))</f>
        <v/>
      </c>
      <c r="J198" s="15" t="str">
        <f t="shared" ref="J198:J261" si="9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0">IF(SUM(B262:F262,H262)=0,"",SUM(B262:F262,H262))</f>
        <v/>
      </c>
      <c r="J262" s="15" t="str">
        <f t="shared" ref="J262:J325" si="11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2">IF(SUM(B326:F326,H326)=0,"",SUM(B326:F326,H326))</f>
        <v/>
      </c>
      <c r="J326" s="15" t="str">
        <f t="shared" ref="J326:J389" si="13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2"/>
        <v/>
      </c>
      <c r="J327" s="15" t="str">
        <f t="shared" si="13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2"/>
        <v/>
      </c>
      <c r="J328" s="15" t="str">
        <f t="shared" si="13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2"/>
        <v/>
      </c>
      <c r="J329" s="15" t="str">
        <f t="shared" si="13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2"/>
        <v/>
      </c>
      <c r="J330" s="15" t="str">
        <f t="shared" si="13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2"/>
        <v/>
      </c>
      <c r="J331" s="15" t="str">
        <f t="shared" si="13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2"/>
        <v/>
      </c>
      <c r="J332" s="15" t="str">
        <f t="shared" si="13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2"/>
        <v/>
      </c>
      <c r="J333" s="15" t="str">
        <f t="shared" si="13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2"/>
        <v/>
      </c>
      <c r="J334" s="15" t="str">
        <f t="shared" si="13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2"/>
        <v/>
      </c>
      <c r="J335" s="15" t="str">
        <f t="shared" si="13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4">IF(SUM(B390:F390,H390)=0,"",SUM(B390:F390,H390))</f>
        <v/>
      </c>
      <c r="J390" s="15" t="str">
        <f t="shared" ref="J390:J401" si="15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4"/>
        <v/>
      </c>
      <c r="J391" s="15" t="str">
        <f t="shared" si="15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4"/>
        <v/>
      </c>
      <c r="J392" s="15" t="str">
        <f t="shared" si="15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4"/>
        <v/>
      </c>
      <c r="J393" s="15" t="str">
        <f t="shared" si="15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4"/>
        <v/>
      </c>
      <c r="J394" s="15" t="str">
        <f t="shared" si="15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4"/>
        <v/>
      </c>
      <c r="J395" s="15" t="str">
        <f t="shared" si="15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4"/>
        <v/>
      </c>
      <c r="J396" s="15" t="str">
        <f t="shared" si="15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4"/>
        <v/>
      </c>
      <c r="J397" s="15" t="str">
        <f t="shared" si="15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4"/>
        <v/>
      </c>
      <c r="J398" s="15" t="str">
        <f t="shared" si="15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4"/>
        <v/>
      </c>
      <c r="J399" s="15" t="str">
        <f t="shared" si="15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4"/>
        <v/>
      </c>
      <c r="J400" s="15" t="str">
        <f t="shared" si="15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4"/>
        <v/>
      </c>
      <c r="J401" s="15" t="str">
        <f t="shared" si="15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kumaripusha78212@gmail.com</cp:lastModifiedBy>
  <cp:revision>0</cp:revision>
  <dcterms:created xsi:type="dcterms:W3CDTF">2026-07-24T11:49:30Z</dcterms:created>
  <dcterms:modified xsi:type="dcterms:W3CDTF">2026-09-06T19:18:14Z</dcterms:modified>
  <dc:language>en-US</dc:language>
</cp:coreProperties>
</file>