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714B8119-0BD3-415D-A4B0-C9846C65E92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<sst xmlns="http://schemas.openxmlformats.org/spreadsheetml/2006/main" count="161" uniqueCount="82">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</sst>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A33" sqref="A32:A33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58</v>
      </c>
      <c r="L26" s="16" t="s">
        <v>50</v>
      </c>
      <c r="M26" s="16" t="s">
        <v>57</v>
      </c>
      <c r="N26" s="17" t="s">
        <v>75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58</v>
      </c>
      <c r="M27" s="16" t="s">
        <v>51</v>
      </c>
      <c r="N27" s="17" t="s">
        <v>76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58</v>
      </c>
      <c r="L28" s="16" t="s">
        <v>50</v>
      </c>
      <c r="M28" s="16" t="s">
        <v>51</v>
      </c>
      <c r="N28" s="17" t="s">
        <v>77</v>
      </c>
    </row>
    <row r="29" spans="1:14" ht="28.8" x14ac:dyDescent="0.3">
      <c r="A29" s="13">
        <v>46269</v>
      </c>
      <c r="B29" s="14">
        <v>300</v>
      </c>
      <c r="C29" s="14">
        <v>40</v>
      </c>
      <c r="D29" s="14">
        <v>180</v>
      </c>
      <c r="E29" s="14">
        <v>30</v>
      </c>
      <c r="F29" s="14">
        <v>250</v>
      </c>
      <c r="G29" s="14">
        <v>5</v>
      </c>
      <c r="H29" s="14">
        <v>120</v>
      </c>
      <c r="I29" s="15">
        <f t="shared" ref="I29" si="2">IF(SUM(B29:F29,H29)=0,"",SUM(B29:F29,H29))</f>
        <v>920</v>
      </c>
      <c r="J29" s="15">
        <f t="shared" ref="J29" si="3">IF(I29="","",1440-I29)</f>
        <v>520</v>
      </c>
      <c r="K29" s="16" t="s">
        <v>58</v>
      </c>
      <c r="L29" s="16" t="s">
        <v>58</v>
      </c>
      <c r="M29" s="16" t="s">
        <v>51</v>
      </c>
      <c r="N29" s="17" t="s">
        <v>78</v>
      </c>
    </row>
    <row r="30" spans="1:14" x14ac:dyDescent="0.3">
      <c r="A30" s="13">
        <v>46270</v>
      </c>
      <c r="B30" s="14">
        <v>360</v>
      </c>
      <c r="C30" s="14">
        <v>20</v>
      </c>
      <c r="D30" s="14">
        <v>150</v>
      </c>
      <c r="E30" s="14">
        <v>20</v>
      </c>
      <c r="F30" s="14">
        <v>50</v>
      </c>
      <c r="G30" s="14">
        <v>1</v>
      </c>
      <c r="H30" s="14">
        <v>180</v>
      </c>
      <c r="I30" s="15">
        <f t="shared" si="0"/>
        <v>780</v>
      </c>
      <c r="J30" s="15">
        <f t="shared" si="1"/>
        <v>660</v>
      </c>
      <c r="K30" s="16" t="s">
        <v>57</v>
      </c>
      <c r="L30" s="16" t="s">
        <v>60</v>
      </c>
      <c r="M30" s="16" t="s">
        <v>51</v>
      </c>
      <c r="N30" s="17" t="s">
        <v>79</v>
      </c>
    </row>
    <row r="31" spans="1:14" x14ac:dyDescent="0.3">
      <c r="A31" s="13">
        <v>46271</v>
      </c>
      <c r="B31" s="14">
        <v>360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180</v>
      </c>
      <c r="I31" s="15">
        <f t="shared" si="0"/>
        <v>660</v>
      </c>
      <c r="J31" s="15">
        <f t="shared" si="1"/>
        <v>780</v>
      </c>
      <c r="K31" s="16" t="s">
        <v>49</v>
      </c>
      <c r="L31" s="16" t="s">
        <v>58</v>
      </c>
      <c r="M31" s="16" t="s">
        <v>51</v>
      </c>
      <c r="N31" s="17" t="s">
        <v>80</v>
      </c>
    </row>
    <row r="32" spans="1:14" ht="28.8" x14ac:dyDescent="0.3">
      <c r="A32" s="13">
        <v>46272</v>
      </c>
      <c r="B32" s="14">
        <v>360</v>
      </c>
      <c r="C32" s="14">
        <v>40</v>
      </c>
      <c r="D32" s="14">
        <v>120</v>
      </c>
      <c r="E32" s="14">
        <v>0</v>
      </c>
      <c r="F32" s="14">
        <v>150</v>
      </c>
      <c r="G32" s="14">
        <v>3</v>
      </c>
      <c r="H32" s="14">
        <v>180</v>
      </c>
      <c r="I32" s="15">
        <f t="shared" si="0"/>
        <v>850</v>
      </c>
      <c r="J32" s="15">
        <f t="shared" si="1"/>
        <v>590</v>
      </c>
      <c r="K32" s="16" t="s">
        <v>57</v>
      </c>
      <c r="L32" s="16" t="s">
        <v>58</v>
      </c>
      <c r="M32" s="16" t="s">
        <v>51</v>
      </c>
      <c r="N32" s="17" t="s">
        <v>81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2026-09-07T17:31:49Z</dcterms:modified>
  <dc:language>en-US</dc:language>
</cp:coreProperties>
</file>