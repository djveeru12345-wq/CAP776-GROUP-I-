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7F2AB415-314F-4295-8DC5-5500DE89BC3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<sst xmlns="http://schemas.openxmlformats.org/spreadsheetml/2006/main" count="230" uniqueCount="96">
  <si>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</si>
  <si>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</si>
  <si>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</si>
  <si>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</si>
  <si>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</si>
  <si>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</si>
  <si>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</si>
  <si>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</si>
  <si>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</si>
  <si>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</si>
  <si>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</si>
  <si>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</si>
  <si>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</si>
  <si>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</si>
  <si>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</si>
  <si>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</si>
  <si>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</si>
  <si>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</si>
  <si>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</si>
  <si>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</si>
  <si>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</si>
  <si>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</si>
  <si>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</si>
  <si>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</si>
  <si>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</si>
  <si>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</si>
  <si>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</si>
  <si>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</si>
  <si>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</si>
  <si>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</si>
  <si>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</si>
  <si>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</si>
  <si>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</si>
  <si>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</si>
  <si>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</si>
  <si>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</si>
  <si>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</si>
  <si>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</si>
  <si>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</si>
  <si>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</si>
  <si>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</si>
  <si>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</si>
  <si>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</si>
  <si>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</si>
  <si>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</si>
  <si>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</si>
  <si>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</si>
  <si>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</si>
  <si>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</si>
  <si>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</si>
  <si>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</si>
  <si>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</si>
  <si>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</si>
  <si>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</si>
  <si>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</si>
  <si>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</si>
  <si>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</si>
  <si>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</si>
  <si>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</si>
  <si>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</si>
  <si>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</si>
  <si>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</si>
  <si>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</si>
  <si>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</si>
  <si>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</si>
  <si>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</si>
  <si>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</si>
  <si>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</si>
  <si>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</si>
  <si>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</si>
  <si>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</si>
  <si>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</si>
  <si>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</si>
  <si>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</si>
  <si>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</si>
  <si>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</si>
  <si>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</si>
  <si>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</si>
  <si>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</si>
  <si>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</si>
  <si>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</si>
  <si>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</si>
  <si>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</si>
  <si>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</si>
  <si>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</si>
  <si>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</si>
  <si>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</si>
  <si>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</si>
  <si>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</si>
  <si>
    <t>clearing concepts of python.</t>
  </si>
  <si>
    <t>c</t>
  </si>
  <si>
    <t>working with python functions.</t>
  </si>
  <si>
    <t>working with python built in functions.</t>
  </si>
  <si>
    <t>working with numpy,panndas.</t>
  </si>
  <si>
    <t>working with python slicing.</t>
  </si>
  <si>
    <t>working with numpy libraries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</si>
</sst>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5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N77" sqref="N77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12610223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85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20</v>
      </c>
      <c r="D6" s="9">
        <v>160</v>
      </c>
      <c r="E6" s="9">
        <v>0</v>
      </c>
      <c r="F6" s="9">
        <v>0</v>
      </c>
      <c r="G6" s="9">
        <v>0</v>
      </c>
      <c r="H6" s="9">
        <v>240</v>
      </c>
      <c r="I6" s="10">
        <f t="shared" ref="I6:I63" si="0">IF(SUM(B6:F6,H6)=0,"",SUM(B6:F6,H6))</f>
        <v>900</v>
      </c>
      <c r="J6" s="10">
        <f t="shared" ref="J6:J63" si="1">IF(I6="","",1440-I6)</f>
        <v>540</v>
      </c>
      <c r="K6" s="11" t="s">
        <v>57</v>
      </c>
      <c r="L6" s="11" t="s">
        <v>58</v>
      </c>
      <c r="M6" s="11" t="s">
        <v>55</v>
      </c>
      <c r="N6" s="12" t="s">
        <v>59</v>
      </c>
    </row>
    <row r="7" spans="1:14" x14ac:dyDescent="0.3">
      <c r="A7" s="8">
        <v>46252</v>
      </c>
      <c r="B7" s="9">
        <v>360</v>
      </c>
      <c r="C7" s="9">
        <v>30</v>
      </c>
      <c r="D7" s="9">
        <v>60</v>
      </c>
      <c r="E7" s="9">
        <v>15</v>
      </c>
      <c r="F7" s="9">
        <v>400</v>
      </c>
      <c r="G7" s="9">
        <v>8</v>
      </c>
      <c r="H7" s="9">
        <v>120</v>
      </c>
      <c r="I7" s="10">
        <f t="shared" si="0"/>
        <v>985</v>
      </c>
      <c r="J7" s="10">
        <f t="shared" si="1"/>
        <v>455</v>
      </c>
      <c r="K7" s="11" t="s">
        <v>56</v>
      </c>
      <c r="L7" s="11" t="s">
        <v>56</v>
      </c>
      <c r="M7" s="11" t="s">
        <v>51</v>
      </c>
      <c r="N7" s="12" t="s">
        <v>60</v>
      </c>
    </row>
    <row r="8" spans="1:14" x14ac:dyDescent="0.3">
      <c r="A8" s="8">
        <v>46253</v>
      </c>
      <c r="B8" s="9">
        <v>360</v>
      </c>
      <c r="C8" s="9">
        <v>0</v>
      </c>
      <c r="D8" s="9">
        <v>120</v>
      </c>
      <c r="E8" s="9">
        <v>0</v>
      </c>
      <c r="F8" s="9">
        <v>200</v>
      </c>
      <c r="G8" s="9">
        <v>4</v>
      </c>
      <c r="H8" s="9">
        <v>200</v>
      </c>
      <c r="I8" s="10">
        <f t="shared" si="0"/>
        <v>880</v>
      </c>
      <c r="J8" s="10">
        <f t="shared" si="1"/>
        <v>560</v>
      </c>
      <c r="K8" s="11" t="s">
        <v>49</v>
      </c>
      <c r="L8" s="11" t="s">
        <v>56</v>
      </c>
      <c r="M8" s="11" t="s">
        <v>55</v>
      </c>
      <c r="N8" s="12" t="s">
        <v>61</v>
      </c>
    </row>
    <row r="9" spans="1:14" x14ac:dyDescent="0.3">
      <c r="A9" s="8">
        <v>46254</v>
      </c>
      <c r="B9" s="9">
        <v>330</v>
      </c>
      <c r="C9" s="9">
        <v>30</v>
      </c>
      <c r="D9" s="9">
        <v>60</v>
      </c>
      <c r="E9" s="9">
        <v>45</v>
      </c>
      <c r="F9" s="9">
        <v>300</v>
      </c>
      <c r="G9" s="9">
        <v>6</v>
      </c>
      <c r="H9" s="9">
        <v>200</v>
      </c>
      <c r="I9" s="10">
        <f t="shared" si="0"/>
        <v>965</v>
      </c>
      <c r="J9" s="10">
        <f t="shared" si="1"/>
        <v>475</v>
      </c>
      <c r="K9" s="11" t="s">
        <v>55</v>
      </c>
      <c r="L9" s="11" t="s">
        <v>56</v>
      </c>
      <c r="M9" s="11" t="s">
        <v>51</v>
      </c>
      <c r="N9" s="12" t="s">
        <v>62</v>
      </c>
    </row>
    <row r="10" spans="1:14" x14ac:dyDescent="0.3">
      <c r="A10" s="8">
        <v>46255</v>
      </c>
      <c r="B10" s="9">
        <v>300</v>
      </c>
      <c r="C10" s="9">
        <v>20</v>
      </c>
      <c r="D10" s="9">
        <v>180</v>
      </c>
      <c r="E10" s="9">
        <v>0</v>
      </c>
      <c r="F10" s="9">
        <v>350</v>
      </c>
      <c r="G10" s="9">
        <v>7</v>
      </c>
      <c r="H10" s="9">
        <v>60</v>
      </c>
      <c r="I10" s="10">
        <f t="shared" si="0"/>
        <v>910</v>
      </c>
      <c r="J10" s="10">
        <f t="shared" si="1"/>
        <v>530</v>
      </c>
      <c r="K10" s="11" t="s">
        <v>56</v>
      </c>
      <c r="L10" s="11" t="s">
        <v>56</v>
      </c>
      <c r="M10" s="11" t="s">
        <v>51</v>
      </c>
      <c r="N10" s="12" t="s">
        <v>62</v>
      </c>
    </row>
    <row r="11" spans="1:14" x14ac:dyDescent="0.3">
      <c r="A11" s="8">
        <v>46256</v>
      </c>
      <c r="B11" s="9">
        <v>300</v>
      </c>
      <c r="C11" s="9">
        <v>20</v>
      </c>
      <c r="D11" s="9">
        <v>150</v>
      </c>
      <c r="E11" s="9">
        <v>20</v>
      </c>
      <c r="F11" s="9">
        <v>0</v>
      </c>
      <c r="G11" s="9">
        <v>0</v>
      </c>
      <c r="H11" s="9">
        <v>120</v>
      </c>
      <c r="I11" s="10">
        <f t="shared" si="0"/>
        <v>610</v>
      </c>
      <c r="J11" s="10">
        <f t="shared" si="1"/>
        <v>830</v>
      </c>
      <c r="K11" s="11" t="s">
        <v>56</v>
      </c>
      <c r="L11" s="11" t="s">
        <v>56</v>
      </c>
      <c r="M11" s="11" t="s">
        <v>51</v>
      </c>
      <c r="N11" s="12" t="s">
        <v>63</v>
      </c>
    </row>
    <row r="12" spans="1:14" x14ac:dyDescent="0.3">
      <c r="A12" s="8">
        <v>46257</v>
      </c>
      <c r="B12" s="9">
        <v>360</v>
      </c>
      <c r="C12" s="9">
        <v>0</v>
      </c>
      <c r="D12" s="9">
        <v>120</v>
      </c>
      <c r="E12" s="9">
        <v>25</v>
      </c>
      <c r="F12" s="9">
        <v>0</v>
      </c>
      <c r="G12" s="9">
        <v>0</v>
      </c>
      <c r="H12" s="9">
        <v>120</v>
      </c>
      <c r="I12" s="10">
        <f t="shared" si="0"/>
        <v>625</v>
      </c>
      <c r="J12" s="10">
        <f t="shared" si="1"/>
        <v>815</v>
      </c>
      <c r="K12" s="11" t="s">
        <v>49</v>
      </c>
      <c r="L12" s="11" t="s">
        <v>56</v>
      </c>
      <c r="M12" s="11" t="s">
        <v>51</v>
      </c>
      <c r="N12" s="12" t="s">
        <v>64</v>
      </c>
    </row>
    <row r="13" spans="1:14" x14ac:dyDescent="0.3">
      <c r="A13" s="8">
        <v>46258</v>
      </c>
      <c r="B13" s="9">
        <v>420</v>
      </c>
      <c r="C13" s="9">
        <v>20</v>
      </c>
      <c r="D13" s="9">
        <v>120</v>
      </c>
      <c r="E13" s="9">
        <v>45</v>
      </c>
      <c r="F13" s="9">
        <v>100</v>
      </c>
      <c r="G13" s="9">
        <v>2</v>
      </c>
      <c r="H13" s="9">
        <v>60</v>
      </c>
      <c r="I13" s="10">
        <f t="shared" si="0"/>
        <v>765</v>
      </c>
      <c r="J13" s="10">
        <f t="shared" si="1"/>
        <v>675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8">
        <v>46259</v>
      </c>
      <c r="B14" s="9">
        <v>300</v>
      </c>
      <c r="C14" s="9">
        <v>25</v>
      </c>
      <c r="D14" s="9">
        <v>150</v>
      </c>
      <c r="E14" s="9">
        <v>60</v>
      </c>
      <c r="F14" s="9">
        <v>350</v>
      </c>
      <c r="G14" s="9">
        <v>7</v>
      </c>
      <c r="H14" s="9">
        <v>120</v>
      </c>
      <c r="I14" s="10">
        <f t="shared" si="0"/>
        <v>1005</v>
      </c>
      <c r="J14" s="10">
        <f t="shared" si="1"/>
        <v>435</v>
      </c>
      <c r="K14" s="11" t="s">
        <v>49</v>
      </c>
      <c r="L14" s="11" t="s">
        <v>56</v>
      </c>
      <c r="M14" s="11" t="s">
        <v>51</v>
      </c>
      <c r="N14" s="12" t="s">
        <v>62</v>
      </c>
    </row>
    <row r="15" spans="1:14" ht="28.8" x14ac:dyDescent="0.3">
      <c r="A15" s="8">
        <v>46260</v>
      </c>
      <c r="B15" s="9">
        <v>300</v>
      </c>
      <c r="C15" s="9">
        <v>40</v>
      </c>
      <c r="D15" s="9">
        <v>120</v>
      </c>
      <c r="E15" s="9">
        <v>20</v>
      </c>
      <c r="F15" s="9">
        <v>200</v>
      </c>
      <c r="G15" s="9">
        <v>4</v>
      </c>
      <c r="H15" s="9">
        <v>180</v>
      </c>
      <c r="I15" s="10">
        <f t="shared" si="0"/>
        <v>860</v>
      </c>
      <c r="J15" s="10">
        <f t="shared" si="1"/>
        <v>580</v>
      </c>
      <c r="K15" s="11" t="s">
        <v>56</v>
      </c>
      <c r="L15" s="11" t="s">
        <v>56</v>
      </c>
      <c r="M15" s="11" t="s">
        <v>55</v>
      </c>
      <c r="N15" s="12" t="s">
        <v>66</v>
      </c>
    </row>
    <row r="16" spans="1:14" ht="28.8" x14ac:dyDescent="0.3">
      <c r="A16" s="8">
        <v>46261</v>
      </c>
      <c r="B16" s="9">
        <v>300</v>
      </c>
      <c r="C16" s="9">
        <v>40</v>
      </c>
      <c r="D16" s="9">
        <v>180</v>
      </c>
      <c r="E16" s="9">
        <v>30</v>
      </c>
      <c r="F16" s="9">
        <v>350</v>
      </c>
      <c r="G16" s="9">
        <v>7</v>
      </c>
      <c r="H16" s="9">
        <v>200</v>
      </c>
      <c r="I16" s="10">
        <f t="shared" si="0"/>
        <v>1100</v>
      </c>
      <c r="J16" s="10">
        <f t="shared" si="1"/>
        <v>340</v>
      </c>
      <c r="K16" s="11" t="s">
        <v>49</v>
      </c>
      <c r="L16" s="11" t="s">
        <v>56</v>
      </c>
      <c r="M16" s="11" t="s">
        <v>51</v>
      </c>
      <c r="N16" s="12" t="s">
        <v>66</v>
      </c>
    </row>
    <row r="17" spans="1:14" x14ac:dyDescent="0.3">
      <c r="A17" s="8">
        <v>46262</v>
      </c>
      <c r="B17" s="9">
        <v>300</v>
      </c>
      <c r="C17" s="9">
        <v>40</v>
      </c>
      <c r="D17" s="9">
        <v>180</v>
      </c>
      <c r="E17" s="9">
        <v>30</v>
      </c>
      <c r="F17" s="9">
        <v>150</v>
      </c>
      <c r="G17" s="9">
        <v>3</v>
      </c>
      <c r="H17" s="9">
        <v>120</v>
      </c>
      <c r="I17" s="10">
        <f t="shared" si="0"/>
        <v>820</v>
      </c>
      <c r="J17" s="10">
        <f t="shared" si="1"/>
        <v>620</v>
      </c>
      <c r="K17" s="11" t="s">
        <v>56</v>
      </c>
      <c r="L17" s="11" t="s">
        <v>56</v>
      </c>
      <c r="M17" s="11" t="s">
        <v>51</v>
      </c>
      <c r="N17" s="12" t="s">
        <v>67</v>
      </c>
    </row>
    <row r="18" spans="1:14" x14ac:dyDescent="0.3">
      <c r="A18" s="8">
        <v>46263</v>
      </c>
      <c r="B18" s="9">
        <v>300</v>
      </c>
      <c r="C18" s="9">
        <v>0</v>
      </c>
      <c r="D18" s="9">
        <v>180</v>
      </c>
      <c r="E18" s="9">
        <v>20</v>
      </c>
      <c r="F18" s="9">
        <v>0</v>
      </c>
      <c r="G18" s="9">
        <v>0</v>
      </c>
      <c r="H18" s="9">
        <v>180</v>
      </c>
      <c r="I18" s="10">
        <f t="shared" si="0"/>
        <v>680</v>
      </c>
      <c r="J18" s="10">
        <f t="shared" si="1"/>
        <v>760</v>
      </c>
      <c r="K18" s="11" t="s">
        <v>56</v>
      </c>
      <c r="L18" s="11" t="s">
        <v>50</v>
      </c>
      <c r="M18" s="11" t="s">
        <v>51</v>
      </c>
      <c r="N18" s="12" t="s">
        <v>68</v>
      </c>
    </row>
    <row r="19" spans="1:14" x14ac:dyDescent="0.3">
      <c r="A19" s="8">
        <v>46264</v>
      </c>
      <c r="B19" s="9">
        <v>360</v>
      </c>
      <c r="C19" s="9">
        <v>15</v>
      </c>
      <c r="D19" s="9">
        <v>240</v>
      </c>
      <c r="E19" s="9">
        <v>0</v>
      </c>
      <c r="F19" s="9">
        <v>0</v>
      </c>
      <c r="G19" s="9">
        <v>0</v>
      </c>
      <c r="H19" s="9">
        <v>120</v>
      </c>
      <c r="I19" s="10">
        <f t="shared" si="0"/>
        <v>735</v>
      </c>
      <c r="J19" s="10">
        <f t="shared" si="1"/>
        <v>705</v>
      </c>
      <c r="K19" s="11" t="s">
        <v>56</v>
      </c>
      <c r="L19" s="11" t="s">
        <v>56</v>
      </c>
      <c r="M19" s="11" t="s">
        <v>51</v>
      </c>
      <c r="N19" s="12" t="s">
        <v>69</v>
      </c>
    </row>
    <row r="20" spans="1:14" x14ac:dyDescent="0.3">
      <c r="A20" s="8">
        <v>46265</v>
      </c>
      <c r="B20" s="9">
        <v>360</v>
      </c>
      <c r="C20" s="9">
        <v>0</v>
      </c>
      <c r="D20" s="9">
        <v>120</v>
      </c>
      <c r="E20" s="9">
        <v>25</v>
      </c>
      <c r="F20" s="9">
        <v>100</v>
      </c>
      <c r="G20" s="9">
        <v>2</v>
      </c>
      <c r="H20" s="9">
        <v>180</v>
      </c>
      <c r="I20" s="10">
        <f t="shared" si="0"/>
        <v>785</v>
      </c>
      <c r="J20" s="10">
        <f t="shared" si="1"/>
        <v>655</v>
      </c>
      <c r="K20" s="11" t="s">
        <v>56</v>
      </c>
      <c r="L20" s="11" t="s">
        <v>56</v>
      </c>
      <c r="M20" s="11" t="s">
        <v>51</v>
      </c>
      <c r="N20" s="12" t="s">
        <v>70</v>
      </c>
    </row>
    <row r="21" spans="1:14" ht="28.8" x14ac:dyDescent="0.3">
      <c r="A21" s="8">
        <v>46266</v>
      </c>
      <c r="B21" s="9">
        <v>360</v>
      </c>
      <c r="C21" s="9">
        <v>40</v>
      </c>
      <c r="D21" s="9">
        <v>180</v>
      </c>
      <c r="E21" s="9">
        <v>40</v>
      </c>
      <c r="F21" s="9">
        <v>350</v>
      </c>
      <c r="G21" s="9">
        <v>7</v>
      </c>
      <c r="H21" s="9">
        <v>120</v>
      </c>
      <c r="I21" s="10">
        <f t="shared" si="0"/>
        <v>1090</v>
      </c>
      <c r="J21" s="10">
        <f t="shared" si="1"/>
        <v>350</v>
      </c>
      <c r="K21" s="11" t="s">
        <v>56</v>
      </c>
      <c r="L21" s="11" t="s">
        <v>50</v>
      </c>
      <c r="M21" s="11" t="s">
        <v>55</v>
      </c>
      <c r="N21" s="12" t="s">
        <v>71</v>
      </c>
    </row>
    <row r="22" spans="1:14" ht="28.8" x14ac:dyDescent="0.3">
      <c r="A22" s="8">
        <v>46267</v>
      </c>
      <c r="B22" s="9">
        <v>300</v>
      </c>
      <c r="C22" s="9">
        <v>40</v>
      </c>
      <c r="D22" s="9">
        <v>240</v>
      </c>
      <c r="E22" s="9">
        <v>30</v>
      </c>
      <c r="F22" s="9">
        <v>200</v>
      </c>
      <c r="G22" s="9">
        <v>4</v>
      </c>
      <c r="H22" s="9">
        <v>120</v>
      </c>
      <c r="I22" s="10">
        <f t="shared" si="0"/>
        <v>930</v>
      </c>
      <c r="J22" s="10">
        <f t="shared" si="1"/>
        <v>510</v>
      </c>
      <c r="K22" s="11" t="s">
        <v>49</v>
      </c>
      <c r="L22" s="11" t="s">
        <v>56</v>
      </c>
      <c r="M22" s="11" t="s">
        <v>51</v>
      </c>
      <c r="N22" s="12" t="s">
        <v>72</v>
      </c>
    </row>
    <row r="23" spans="1:14" x14ac:dyDescent="0.3">
      <c r="A23" s="8">
        <v>46268</v>
      </c>
      <c r="B23" s="9">
        <v>360</v>
      </c>
      <c r="C23" s="9">
        <v>40</v>
      </c>
      <c r="D23" s="9">
        <v>180</v>
      </c>
      <c r="E23" s="9">
        <v>30</v>
      </c>
      <c r="F23" s="9">
        <v>350</v>
      </c>
      <c r="G23" s="9">
        <v>7</v>
      </c>
      <c r="H23" s="9">
        <v>120</v>
      </c>
      <c r="I23" s="10">
        <f t="shared" si="0"/>
        <v>1080</v>
      </c>
      <c r="J23" s="10">
        <f t="shared" si="1"/>
        <v>360</v>
      </c>
      <c r="K23" s="11" t="s">
        <v>56</v>
      </c>
      <c r="L23" s="11" t="s">
        <v>50</v>
      </c>
      <c r="M23" s="11" t="s">
        <v>51</v>
      </c>
      <c r="N23" s="12" t="s">
        <v>73</v>
      </c>
    </row>
    <row r="24" spans="1:14" ht="28.8" x14ac:dyDescent="0.3">
      <c r="A24" s="8">
        <v>46269</v>
      </c>
      <c r="B24" s="9">
        <v>300</v>
      </c>
      <c r="C24" s="9">
        <v>40</v>
      </c>
      <c r="D24" s="9">
        <v>180</v>
      </c>
      <c r="E24" s="9">
        <v>30</v>
      </c>
      <c r="F24" s="9">
        <v>250</v>
      </c>
      <c r="G24" s="9">
        <v>5</v>
      </c>
      <c r="H24" s="9">
        <v>120</v>
      </c>
      <c r="I24" s="10">
        <f t="shared" ref="I24" si="2">IF(SUM(B24:F24,H24)=0,"",SUM(B24:F24,H24))</f>
        <v>920</v>
      </c>
      <c r="J24" s="10">
        <f t="shared" ref="J24" si="3">IF(I24="","",1440-I24)</f>
        <v>520</v>
      </c>
      <c r="K24" s="11" t="s">
        <v>56</v>
      </c>
      <c r="L24" s="11" t="s">
        <v>56</v>
      </c>
      <c r="M24" s="11" t="s">
        <v>51</v>
      </c>
      <c r="N24" s="12" t="s">
        <v>74</v>
      </c>
    </row>
    <row r="25" spans="1:14" x14ac:dyDescent="0.3">
      <c r="A25" s="8">
        <v>46270</v>
      </c>
      <c r="B25" s="9">
        <v>360</v>
      </c>
      <c r="C25" s="9">
        <v>20</v>
      </c>
      <c r="D25" s="9">
        <v>150</v>
      </c>
      <c r="E25" s="9">
        <v>20</v>
      </c>
      <c r="F25" s="9">
        <v>50</v>
      </c>
      <c r="G25" s="9">
        <v>1</v>
      </c>
      <c r="H25" s="9">
        <v>180</v>
      </c>
      <c r="I25" s="10">
        <f t="shared" si="0"/>
        <v>780</v>
      </c>
      <c r="J25" s="10">
        <f t="shared" si="1"/>
        <v>660</v>
      </c>
      <c r="K25" s="11" t="s">
        <v>55</v>
      </c>
      <c r="L25" s="11" t="s">
        <v>58</v>
      </c>
      <c r="M25" s="11" t="s">
        <v>51</v>
      </c>
      <c r="N25" s="12" t="s">
        <v>75</v>
      </c>
    </row>
    <row r="26" spans="1:14" x14ac:dyDescent="0.3">
      <c r="A26" s="8">
        <v>46271</v>
      </c>
      <c r="B26" s="9">
        <v>360</v>
      </c>
      <c r="C26" s="9">
        <v>0</v>
      </c>
      <c r="D26" s="9">
        <v>120</v>
      </c>
      <c r="E26" s="9">
        <v>0</v>
      </c>
      <c r="F26" s="9">
        <v>0</v>
      </c>
      <c r="G26" s="9">
        <v>0</v>
      </c>
      <c r="H26" s="9">
        <v>180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56</v>
      </c>
      <c r="M26" s="11" t="s">
        <v>51</v>
      </c>
      <c r="N26" s="12" t="s">
        <v>76</v>
      </c>
    </row>
    <row r="27" spans="1:14" ht="28.8" x14ac:dyDescent="0.3">
      <c r="A27" s="8">
        <v>46272</v>
      </c>
      <c r="B27" s="9">
        <v>360</v>
      </c>
      <c r="C27" s="9">
        <v>40</v>
      </c>
      <c r="D27" s="9">
        <v>120</v>
      </c>
      <c r="E27" s="9">
        <v>0</v>
      </c>
      <c r="F27" s="9">
        <v>150</v>
      </c>
      <c r="G27" s="9">
        <v>3</v>
      </c>
      <c r="H27" s="9">
        <v>180</v>
      </c>
      <c r="I27" s="10">
        <f t="shared" si="0"/>
        <v>850</v>
      </c>
      <c r="J27" s="10">
        <f t="shared" si="1"/>
        <v>590</v>
      </c>
      <c r="K27" s="11" t="s">
        <v>55</v>
      </c>
      <c r="L27" s="11" t="s">
        <v>56</v>
      </c>
      <c r="M27" s="11" t="s">
        <v>51</v>
      </c>
      <c r="N27" s="12" t="s">
        <v>77</v>
      </c>
    </row>
    <row r="28" spans="1:14" ht="28.8" x14ac:dyDescent="0.3">
      <c r="A28" s="8">
        <v>46273</v>
      </c>
      <c r="B28" s="9">
        <v>300</v>
      </c>
      <c r="C28" s="9">
        <v>40</v>
      </c>
      <c r="D28" s="9">
        <v>60</v>
      </c>
      <c r="E28" s="9">
        <v>20</v>
      </c>
      <c r="F28" s="9">
        <v>350</v>
      </c>
      <c r="G28" s="9">
        <v>7</v>
      </c>
      <c r="H28" s="9">
        <v>180</v>
      </c>
      <c r="I28" s="10">
        <f t="shared" si="0"/>
        <v>950</v>
      </c>
      <c r="J28" s="10">
        <f t="shared" si="1"/>
        <v>490</v>
      </c>
      <c r="K28" s="11" t="s">
        <v>56</v>
      </c>
      <c r="L28" s="11" t="s">
        <v>56</v>
      </c>
      <c r="M28" s="11" t="s">
        <v>51</v>
      </c>
      <c r="N28" s="12" t="s">
        <v>66</v>
      </c>
    </row>
    <row r="29" spans="1:14" x14ac:dyDescent="0.3">
      <c r="A29" s="8">
        <v>46274</v>
      </c>
      <c r="B29" s="9">
        <v>300</v>
      </c>
      <c r="C29" s="9">
        <v>40</v>
      </c>
      <c r="D29" s="9">
        <v>120</v>
      </c>
      <c r="E29" s="9">
        <v>20</v>
      </c>
      <c r="F29" s="9">
        <v>200</v>
      </c>
      <c r="G29" s="9">
        <v>4</v>
      </c>
      <c r="H29" s="9">
        <v>240</v>
      </c>
      <c r="I29" s="10">
        <f t="shared" si="0"/>
        <v>920</v>
      </c>
      <c r="J29" s="10">
        <f t="shared" si="1"/>
        <v>520</v>
      </c>
      <c r="K29" s="11" t="s">
        <v>56</v>
      </c>
      <c r="L29" s="11" t="s">
        <v>56</v>
      </c>
      <c r="M29" s="11" t="s">
        <v>51</v>
      </c>
      <c r="N29" s="12" t="s">
        <v>78</v>
      </c>
    </row>
    <row r="30" spans="1:14" x14ac:dyDescent="0.3">
      <c r="A30" s="8">
        <v>46275</v>
      </c>
      <c r="B30" s="9">
        <v>300</v>
      </c>
      <c r="C30" s="9">
        <v>40</v>
      </c>
      <c r="D30" s="9">
        <v>180</v>
      </c>
      <c r="E30" s="9">
        <v>30</v>
      </c>
      <c r="F30" s="9">
        <v>350</v>
      </c>
      <c r="G30" s="9">
        <v>7</v>
      </c>
      <c r="H30" s="9">
        <v>120</v>
      </c>
      <c r="I30" s="10">
        <f t="shared" si="0"/>
        <v>1020</v>
      </c>
      <c r="J30" s="10">
        <f t="shared" si="1"/>
        <v>420</v>
      </c>
      <c r="K30" s="11" t="s">
        <v>49</v>
      </c>
      <c r="L30" s="11" t="s">
        <v>56</v>
      </c>
      <c r="M30" s="11" t="s">
        <v>51</v>
      </c>
      <c r="N30" s="12" t="s">
        <v>79</v>
      </c>
    </row>
    <row r="31" spans="1:14" x14ac:dyDescent="0.3">
      <c r="A31" s="8">
        <v>46276</v>
      </c>
      <c r="B31" s="9">
        <v>300</v>
      </c>
      <c r="C31" s="9">
        <v>40</v>
      </c>
      <c r="D31" s="9">
        <v>180</v>
      </c>
      <c r="E31" s="9">
        <v>20</v>
      </c>
      <c r="F31" s="9">
        <v>250</v>
      </c>
      <c r="G31" s="9">
        <v>5</v>
      </c>
      <c r="H31" s="9">
        <v>120</v>
      </c>
      <c r="I31" s="10">
        <f t="shared" si="0"/>
        <v>910</v>
      </c>
      <c r="J31" s="10">
        <f t="shared" si="1"/>
        <v>530</v>
      </c>
      <c r="K31" s="11" t="s">
        <v>56</v>
      </c>
      <c r="L31" s="11" t="s">
        <v>56</v>
      </c>
      <c r="M31" s="11" t="s">
        <v>51</v>
      </c>
      <c r="N31" s="12" t="s">
        <v>80</v>
      </c>
    </row>
    <row r="32" spans="1:14" x14ac:dyDescent="0.3">
      <c r="A32" s="8">
        <v>46277</v>
      </c>
      <c r="B32" s="9">
        <v>240</v>
      </c>
      <c r="C32" s="9">
        <v>10</v>
      </c>
      <c r="D32" s="9">
        <v>180</v>
      </c>
      <c r="E32" s="9">
        <v>40</v>
      </c>
      <c r="F32" s="9">
        <v>0</v>
      </c>
      <c r="G32" s="9">
        <v>0</v>
      </c>
      <c r="H32" s="9">
        <v>200</v>
      </c>
      <c r="I32" s="10">
        <f t="shared" si="0"/>
        <v>670</v>
      </c>
      <c r="J32" s="10">
        <f t="shared" si="1"/>
        <v>770</v>
      </c>
      <c r="K32" s="11" t="s">
        <v>56</v>
      </c>
      <c r="L32" s="11" t="s">
        <v>56</v>
      </c>
      <c r="M32" s="11" t="s">
        <v>51</v>
      </c>
      <c r="N32" s="12" t="s">
        <v>73</v>
      </c>
    </row>
    <row r="33" spans="1:14" ht="28.8" x14ac:dyDescent="0.3">
      <c r="A33" s="8">
        <v>46278</v>
      </c>
      <c r="B33" s="9">
        <v>360</v>
      </c>
      <c r="C33" s="9">
        <v>40</v>
      </c>
      <c r="D33" s="9">
        <v>180</v>
      </c>
      <c r="E33" s="9">
        <v>20</v>
      </c>
      <c r="F33" s="9">
        <v>0</v>
      </c>
      <c r="G33" s="9">
        <v>0</v>
      </c>
      <c r="H33" s="9">
        <v>300</v>
      </c>
      <c r="I33" s="10">
        <f t="shared" si="0"/>
        <v>900</v>
      </c>
      <c r="J33" s="10">
        <f t="shared" si="1"/>
        <v>540</v>
      </c>
      <c r="K33" s="11" t="s">
        <v>56</v>
      </c>
      <c r="L33" s="11" t="s">
        <v>56</v>
      </c>
      <c r="M33" s="11" t="s">
        <v>51</v>
      </c>
      <c r="N33" s="12" t="s">
        <v>81</v>
      </c>
    </row>
    <row r="34" spans="1:14" x14ac:dyDescent="0.3">
      <c r="A34" s="8">
        <v>46279</v>
      </c>
      <c r="B34" s="9">
        <v>360</v>
      </c>
      <c r="C34" s="9">
        <v>40</v>
      </c>
      <c r="D34" s="9">
        <v>60</v>
      </c>
      <c r="E34" s="9">
        <v>0</v>
      </c>
      <c r="F34" s="9">
        <v>0</v>
      </c>
      <c r="G34" s="9">
        <v>0</v>
      </c>
      <c r="H34" s="9">
        <v>600</v>
      </c>
      <c r="I34" s="10">
        <f t="shared" si="0"/>
        <v>1060</v>
      </c>
      <c r="J34" s="10">
        <f t="shared" si="1"/>
        <v>380</v>
      </c>
      <c r="K34" s="11" t="s">
        <v>56</v>
      </c>
      <c r="L34" s="11" t="s">
        <v>56</v>
      </c>
      <c r="M34" s="11" t="s">
        <v>51</v>
      </c>
      <c r="N34" s="12" t="s">
        <v>82</v>
      </c>
    </row>
    <row r="35" spans="1:14" ht="28.8" x14ac:dyDescent="0.3">
      <c r="A35" s="8">
        <v>46280</v>
      </c>
      <c r="B35" s="9">
        <v>360</v>
      </c>
      <c r="C35" s="9">
        <v>40</v>
      </c>
      <c r="D35" s="9">
        <v>180</v>
      </c>
      <c r="E35" s="9">
        <v>20</v>
      </c>
      <c r="F35" s="9">
        <v>350</v>
      </c>
      <c r="G35" s="9">
        <v>7</v>
      </c>
      <c r="H35" s="9">
        <v>60</v>
      </c>
      <c r="I35" s="10">
        <f t="shared" si="0"/>
        <v>1010</v>
      </c>
      <c r="J35" s="10">
        <f t="shared" si="1"/>
        <v>430</v>
      </c>
      <c r="K35" s="11" t="s">
        <v>55</v>
      </c>
      <c r="L35" s="11" t="s">
        <v>58</v>
      </c>
      <c r="M35" s="11" t="s">
        <v>55</v>
      </c>
      <c r="N35" s="12" t="s">
        <v>83</v>
      </c>
    </row>
    <row r="36" spans="1:14" x14ac:dyDescent="0.3">
      <c r="A36" s="8">
        <v>46281</v>
      </c>
      <c r="B36" s="9">
        <v>360</v>
      </c>
      <c r="C36" s="9">
        <v>40</v>
      </c>
      <c r="D36" s="9">
        <v>180</v>
      </c>
      <c r="E36" s="9">
        <v>20</v>
      </c>
      <c r="F36" s="9">
        <v>240</v>
      </c>
      <c r="G36" s="9">
        <v>4</v>
      </c>
      <c r="H36" s="9">
        <v>240</v>
      </c>
      <c r="I36" s="10">
        <f t="shared" si="0"/>
        <v>1080</v>
      </c>
      <c r="J36" s="10">
        <f t="shared" si="1"/>
        <v>360</v>
      </c>
      <c r="K36" s="11" t="s">
        <v>55</v>
      </c>
      <c r="L36" s="11" t="s">
        <v>56</v>
      </c>
      <c r="M36" s="11" t="s">
        <v>51</v>
      </c>
      <c r="N36" s="12" t="s">
        <v>61</v>
      </c>
    </row>
    <row r="37" spans="1:14" x14ac:dyDescent="0.3">
      <c r="A37" s="8">
        <v>46282</v>
      </c>
      <c r="B37" s="9">
        <v>360</v>
      </c>
      <c r="C37" s="9">
        <v>40</v>
      </c>
      <c r="D37" s="9">
        <v>180</v>
      </c>
      <c r="E37" s="9">
        <v>15</v>
      </c>
      <c r="F37" s="9">
        <v>350</v>
      </c>
      <c r="G37" s="9">
        <v>7</v>
      </c>
      <c r="H37" s="9">
        <v>240</v>
      </c>
      <c r="I37" s="10">
        <f t="shared" si="0"/>
        <v>1185</v>
      </c>
      <c r="J37" s="10">
        <f t="shared" si="1"/>
        <v>255</v>
      </c>
      <c r="K37" s="11" t="s">
        <v>49</v>
      </c>
      <c r="L37" s="11" t="s">
        <v>56</v>
      </c>
      <c r="M37" s="11" t="s">
        <v>51</v>
      </c>
      <c r="N37" s="12" t="s">
        <v>84</v>
      </c>
    </row>
    <row r="38" spans="1:14" ht="28.8" x14ac:dyDescent="0.3">
      <c r="A38" s="8">
        <v>46283</v>
      </c>
      <c r="B38" s="9">
        <v>360</v>
      </c>
      <c r="C38" s="9">
        <v>40</v>
      </c>
      <c r="D38" s="9">
        <v>210</v>
      </c>
      <c r="E38" s="9">
        <v>120</v>
      </c>
      <c r="F38" s="9">
        <v>350</v>
      </c>
      <c r="G38" s="9">
        <v>7</v>
      </c>
      <c r="H38" s="9">
        <v>210</v>
      </c>
      <c r="I38" s="10">
        <f t="shared" si="0"/>
        <v>1290</v>
      </c>
      <c r="J38" s="10">
        <f t="shared" si="1"/>
        <v>150</v>
      </c>
      <c r="K38" s="11" t="s">
        <v>49</v>
      </c>
      <c r="L38" s="11" t="s">
        <v>56</v>
      </c>
      <c r="M38" s="11" t="s">
        <v>51</v>
      </c>
      <c r="N38" s="12" t="s">
        <v>86</v>
      </c>
    </row>
    <row r="39" spans="1:14" x14ac:dyDescent="0.3">
      <c r="A39" s="8">
        <v>46284</v>
      </c>
      <c r="B39" s="9">
        <v>300</v>
      </c>
      <c r="C39" s="9">
        <v>40</v>
      </c>
      <c r="D39" s="9">
        <v>280</v>
      </c>
      <c r="E39" s="9">
        <v>120</v>
      </c>
      <c r="F39" s="9">
        <v>100</v>
      </c>
      <c r="G39" s="9">
        <v>2</v>
      </c>
      <c r="H39" s="9">
        <v>120</v>
      </c>
      <c r="I39" s="10">
        <f t="shared" si="0"/>
        <v>960</v>
      </c>
      <c r="J39" s="10">
        <f t="shared" si="1"/>
        <v>480</v>
      </c>
      <c r="K39" s="11" t="s">
        <v>56</v>
      </c>
      <c r="L39" s="11" t="s">
        <v>56</v>
      </c>
      <c r="M39" s="11" t="s">
        <v>51</v>
      </c>
      <c r="N39" s="12" t="s">
        <v>87</v>
      </c>
    </row>
    <row r="40" spans="1:14" x14ac:dyDescent="0.3">
      <c r="A40" s="8">
        <v>46285</v>
      </c>
      <c r="B40" s="9">
        <v>300</v>
      </c>
      <c r="C40" s="9">
        <v>0</v>
      </c>
      <c r="D40" s="9">
        <v>280</v>
      </c>
      <c r="E40" s="9">
        <v>180</v>
      </c>
      <c r="F40" s="9">
        <v>0</v>
      </c>
      <c r="G40" s="9">
        <v>0</v>
      </c>
      <c r="H40" s="9">
        <v>200</v>
      </c>
      <c r="I40" s="10">
        <f t="shared" si="0"/>
        <v>960</v>
      </c>
      <c r="J40" s="10">
        <f t="shared" si="1"/>
        <v>480</v>
      </c>
      <c r="K40" s="11" t="s">
        <v>55</v>
      </c>
      <c r="L40" s="11" t="s">
        <v>56</v>
      </c>
      <c r="M40" s="11" t="s">
        <v>51</v>
      </c>
      <c r="N40" s="12" t="s">
        <v>88</v>
      </c>
    </row>
    <row r="41" spans="1:14" x14ac:dyDescent="0.3">
      <c r="A41" s="8">
        <v>46286</v>
      </c>
      <c r="B41" s="9">
        <v>360</v>
      </c>
      <c r="C41" s="9">
        <v>40</v>
      </c>
      <c r="D41" s="9">
        <v>210</v>
      </c>
      <c r="E41" s="9">
        <v>120</v>
      </c>
      <c r="F41" s="9">
        <v>100</v>
      </c>
      <c r="G41" s="9">
        <v>2</v>
      </c>
      <c r="H41" s="9">
        <v>120</v>
      </c>
      <c r="I41" s="10">
        <f t="shared" si="0"/>
        <v>950</v>
      </c>
      <c r="J41" s="10">
        <f t="shared" si="1"/>
        <v>490</v>
      </c>
      <c r="K41" s="11" t="s">
        <v>55</v>
      </c>
      <c r="L41" s="11" t="s">
        <v>56</v>
      </c>
      <c r="M41" s="11" t="s">
        <v>51</v>
      </c>
      <c r="N41" s="12" t="s">
        <v>89</v>
      </c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>
        <v>46296</v>
      </c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>
        <v>46297</v>
      </c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>
        <v>46298</v>
      </c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>
        <v>46299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>
        <v>46300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>
        <v>46301</v>
      </c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>
        <v>46302</v>
      </c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>
        <v>46303</v>
      </c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>
        <v>46304</v>
      </c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>
        <v>46305</v>
      </c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>
        <v>46306</v>
      </c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>
        <v>46307</v>
      </c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>
        <v>46308</v>
      </c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>
        <v>46309</v>
      </c>
      <c r="B64" s="9"/>
      <c r="C64" s="9"/>
      <c r="D64" s="9"/>
      <c r="E64" s="9"/>
      <c r="F64" s="9"/>
      <c r="G64" s="9"/>
      <c r="H64" s="9"/>
      <c r="I64" s="10" t="str">
        <f t="shared" ref="I64:I127" si="4">IF(SUM(B64:F64,H64)=0,"",SUM(B64:F64,H64))</f>
        <v/>
      </c>
      <c r="J64" s="10" t="str">
        <f t="shared" ref="J64:J127" si="5">IF(I64="","",1440-I64)</f>
        <v/>
      </c>
      <c r="K64" s="11"/>
      <c r="L64" s="11"/>
      <c r="M64" s="11"/>
      <c r="N64" s="12"/>
    </row>
    <row r="65" spans="1:15" x14ac:dyDescent="0.3">
      <c r="A65" s="8">
        <v>46310</v>
      </c>
      <c r="B65" s="9"/>
      <c r="C65" s="9"/>
      <c r="D65" s="9"/>
      <c r="E65" s="9"/>
      <c r="F65" s="9"/>
      <c r="G65" s="9"/>
      <c r="H65" s="9"/>
      <c r="I65" s="10" t="str">
        <f t="shared" si="4"/>
        <v/>
      </c>
      <c r="J65" s="10" t="str">
        <f t="shared" si="5"/>
        <v/>
      </c>
      <c r="K65" s="11"/>
      <c r="L65" s="11"/>
      <c r="M65" s="11"/>
      <c r="N65" s="12"/>
    </row>
    <row r="66" spans="1:15" x14ac:dyDescent="0.3">
      <c r="A66" s="8">
        <v>46311</v>
      </c>
      <c r="B66" s="9"/>
      <c r="C66" s="9"/>
      <c r="D66" s="9"/>
      <c r="E66" s="9"/>
      <c r="F66" s="9"/>
      <c r="G66" s="9"/>
      <c r="H66" s="9"/>
      <c r="I66" s="10" t="str">
        <f t="shared" si="4"/>
        <v/>
      </c>
      <c r="J66" s="10" t="str">
        <f t="shared" si="5"/>
        <v/>
      </c>
      <c r="K66" s="11"/>
      <c r="L66" s="11"/>
      <c r="M66" s="11"/>
      <c r="N66" s="12"/>
    </row>
    <row r="67" spans="1:15" x14ac:dyDescent="0.3">
      <c r="A67" s="8">
        <v>46312</v>
      </c>
      <c r="B67" s="9"/>
      <c r="C67" s="9"/>
      <c r="D67" s="9"/>
      <c r="E67" s="9"/>
      <c r="F67" s="9"/>
      <c r="G67" s="9"/>
      <c r="H67" s="9"/>
      <c r="I67" s="10" t="str">
        <f t="shared" si="4"/>
        <v/>
      </c>
      <c r="J67" s="10" t="str">
        <f t="shared" si="5"/>
        <v/>
      </c>
      <c r="K67" s="11"/>
      <c r="L67" s="11"/>
      <c r="M67" s="11"/>
      <c r="N67" s="12"/>
    </row>
    <row r="68" spans="1:15" x14ac:dyDescent="0.3">
      <c r="A68" s="8">
        <v>46313</v>
      </c>
      <c r="B68" s="9"/>
      <c r="C68" s="9"/>
      <c r="D68" s="9"/>
      <c r="E68" s="9"/>
      <c r="F68" s="9"/>
      <c r="G68" s="9"/>
      <c r="H68" s="9"/>
      <c r="I68" s="10" t="str">
        <f t="shared" si="4"/>
        <v/>
      </c>
      <c r="J68" s="10" t="str">
        <f t="shared" si="5"/>
        <v/>
      </c>
      <c r="K68" s="11"/>
      <c r="L68" s="11"/>
      <c r="M68" s="11"/>
      <c r="N68" s="12"/>
    </row>
    <row r="69" spans="1:15" x14ac:dyDescent="0.3">
      <c r="A69" s="8">
        <v>46314</v>
      </c>
      <c r="B69" s="9"/>
      <c r="C69" s="9"/>
      <c r="D69" s="9"/>
      <c r="E69" s="9"/>
      <c r="F69" s="9"/>
      <c r="G69" s="9"/>
      <c r="H69" s="9"/>
      <c r="I69" s="10" t="str">
        <f t="shared" si="4"/>
        <v/>
      </c>
      <c r="J69" s="10" t="str">
        <f t="shared" si="5"/>
        <v/>
      </c>
      <c r="K69" s="11"/>
      <c r="L69" s="11"/>
      <c r="M69" s="11"/>
      <c r="N69" s="12"/>
    </row>
    <row r="70" spans="1:15" x14ac:dyDescent="0.3">
      <c r="A70" s="8">
        <v>46315</v>
      </c>
      <c r="B70" s="9">
        <v>360</v>
      </c>
      <c r="C70" s="9">
        <v>40</v>
      </c>
      <c r="D70" s="9">
        <v>120</v>
      </c>
      <c r="E70" s="9">
        <v>30</v>
      </c>
      <c r="F70" s="9">
        <v>0</v>
      </c>
      <c r="G70" s="9">
        <v>0</v>
      </c>
      <c r="H70" s="9">
        <v>240</v>
      </c>
      <c r="I70" s="10">
        <f t="shared" si="4"/>
        <v>790</v>
      </c>
      <c r="J70" s="10">
        <f t="shared" si="5"/>
        <v>650</v>
      </c>
      <c r="K70" s="11" t="s">
        <v>49</v>
      </c>
      <c r="L70" s="11" t="s">
        <v>56</v>
      </c>
      <c r="M70" s="11" t="s">
        <v>51</v>
      </c>
      <c r="N70" s="12" t="s">
        <v>64</v>
      </c>
    </row>
    <row r="71" spans="1:15" ht="28.8" x14ac:dyDescent="0.3">
      <c r="A71" s="8">
        <v>46316</v>
      </c>
      <c r="B71" s="9">
        <v>300</v>
      </c>
      <c r="C71" s="9">
        <v>40</v>
      </c>
      <c r="D71" s="9">
        <v>240</v>
      </c>
      <c r="E71" s="9">
        <v>60</v>
      </c>
      <c r="F71" s="9">
        <v>200</v>
      </c>
      <c r="G71" s="9">
        <v>4</v>
      </c>
      <c r="H71" s="9">
        <v>120</v>
      </c>
      <c r="I71" s="10">
        <f t="shared" si="4"/>
        <v>960</v>
      </c>
      <c r="J71" s="10">
        <f t="shared" si="5"/>
        <v>480</v>
      </c>
      <c r="K71" s="11" t="s">
        <v>49</v>
      </c>
      <c r="L71" s="11" t="s">
        <v>50</v>
      </c>
      <c r="M71" s="11" t="s">
        <v>51</v>
      </c>
      <c r="N71" s="12" t="s">
        <v>66</v>
      </c>
      <c r="O71" s="13" t="s">
        <v>90</v>
      </c>
    </row>
    <row r="72" spans="1:15" ht="28.8" x14ac:dyDescent="0.3">
      <c r="A72" s="8">
        <v>46317</v>
      </c>
      <c r="B72" s="9">
        <v>300</v>
      </c>
      <c r="C72" s="9">
        <v>40</v>
      </c>
      <c r="D72" s="9">
        <v>160</v>
      </c>
      <c r="E72" s="9">
        <v>60</v>
      </c>
      <c r="F72" s="9">
        <v>350</v>
      </c>
      <c r="G72" s="9">
        <v>7</v>
      </c>
      <c r="H72" s="9">
        <v>120</v>
      </c>
      <c r="I72" s="10">
        <f t="shared" si="4"/>
        <v>1030</v>
      </c>
      <c r="J72" s="10">
        <f t="shared" si="5"/>
        <v>410</v>
      </c>
      <c r="K72" s="11" t="s">
        <v>56</v>
      </c>
      <c r="L72" s="11" t="s">
        <v>50</v>
      </c>
      <c r="M72" s="11" t="s">
        <v>51</v>
      </c>
      <c r="N72" s="12" t="s">
        <v>66</v>
      </c>
    </row>
    <row r="73" spans="1:15" x14ac:dyDescent="0.3">
      <c r="A73" s="8">
        <v>46318</v>
      </c>
      <c r="B73" s="9">
        <v>300</v>
      </c>
      <c r="C73" s="9">
        <v>50</v>
      </c>
      <c r="D73" s="9">
        <v>180</v>
      </c>
      <c r="E73" s="9">
        <v>90</v>
      </c>
      <c r="F73" s="9">
        <v>350</v>
      </c>
      <c r="G73" s="9">
        <v>7</v>
      </c>
      <c r="H73" s="9">
        <v>120</v>
      </c>
      <c r="I73" s="10">
        <f t="shared" si="4"/>
        <v>1090</v>
      </c>
      <c r="J73" s="10">
        <f t="shared" si="5"/>
        <v>350</v>
      </c>
      <c r="K73" s="11" t="s">
        <v>49</v>
      </c>
      <c r="L73" s="11" t="s">
        <v>50</v>
      </c>
      <c r="M73" s="11" t="s">
        <v>51</v>
      </c>
      <c r="N73" s="12" t="s">
        <v>91</v>
      </c>
    </row>
    <row r="74" spans="1:15" ht="28.8" x14ac:dyDescent="0.3">
      <c r="A74" s="8">
        <v>46319</v>
      </c>
      <c r="B74" s="9">
        <v>360</v>
      </c>
      <c r="C74" s="9">
        <v>50</v>
      </c>
      <c r="D74" s="9">
        <v>240</v>
      </c>
      <c r="E74" s="9">
        <v>60</v>
      </c>
      <c r="F74" s="9">
        <v>0</v>
      </c>
      <c r="G74" s="9">
        <v>0</v>
      </c>
      <c r="H74" s="9">
        <v>120</v>
      </c>
      <c r="I74" s="10">
        <f t="shared" si="4"/>
        <v>830</v>
      </c>
      <c r="J74" s="10">
        <f t="shared" si="5"/>
        <v>610</v>
      </c>
      <c r="K74" s="11" t="s">
        <v>49</v>
      </c>
      <c r="L74" s="11" t="s">
        <v>56</v>
      </c>
      <c r="M74" s="11" t="s">
        <v>51</v>
      </c>
      <c r="N74" s="12" t="s">
        <v>92</v>
      </c>
    </row>
    <row r="75" spans="1:15" x14ac:dyDescent="0.3">
      <c r="A75" s="8">
        <v>46320</v>
      </c>
      <c r="B75" s="9">
        <v>360</v>
      </c>
      <c r="C75" s="9">
        <v>20</v>
      </c>
      <c r="D75" s="9">
        <v>240</v>
      </c>
      <c r="E75" s="9">
        <v>240</v>
      </c>
      <c r="F75" s="9">
        <v>0</v>
      </c>
      <c r="G75" s="9">
        <v>0</v>
      </c>
      <c r="H75" s="9">
        <v>240</v>
      </c>
      <c r="I75" s="10">
        <f t="shared" si="4"/>
        <v>1100</v>
      </c>
      <c r="J75" s="10">
        <f t="shared" si="5"/>
        <v>340</v>
      </c>
      <c r="K75" s="11" t="s">
        <v>49</v>
      </c>
      <c r="L75" s="11" t="s">
        <v>56</v>
      </c>
      <c r="M75" s="11" t="s">
        <v>51</v>
      </c>
      <c r="N75" s="12" t="s">
        <v>93</v>
      </c>
    </row>
    <row r="76" spans="1:15" x14ac:dyDescent="0.3">
      <c r="A76" s="8">
        <v>46321</v>
      </c>
      <c r="B76" s="9">
        <v>360</v>
      </c>
      <c r="C76" s="9">
        <v>20</v>
      </c>
      <c r="D76" s="9">
        <v>240</v>
      </c>
      <c r="E76" s="9">
        <v>240</v>
      </c>
      <c r="F76" s="9">
        <v>0</v>
      </c>
      <c r="G76" s="9">
        <v>0</v>
      </c>
      <c r="H76" s="9">
        <v>300</v>
      </c>
      <c r="I76" s="10">
        <f t="shared" si="4"/>
        <v>1160</v>
      </c>
      <c r="J76" s="10">
        <f t="shared" si="5"/>
        <v>280</v>
      </c>
      <c r="K76" s="11" t="s">
        <v>56</v>
      </c>
      <c r="L76" s="11" t="s">
        <v>56</v>
      </c>
      <c r="M76" s="11" t="s">
        <v>51</v>
      </c>
      <c r="N76" s="12" t="s">
        <v>94</v>
      </c>
    </row>
    <row r="77" spans="1:15" x14ac:dyDescent="0.3">
      <c r="A77" s="8">
        <v>46322</v>
      </c>
      <c r="B77" s="9">
        <v>360</v>
      </c>
      <c r="C77" s="9">
        <v>40</v>
      </c>
      <c r="D77" s="9">
        <v>180</v>
      </c>
      <c r="E77" s="9">
        <v>240</v>
      </c>
      <c r="F77" s="9">
        <v>400</v>
      </c>
      <c r="G77" s="9">
        <v>8</v>
      </c>
      <c r="H77" s="9">
        <v>220</v>
      </c>
      <c r="I77" s="10">
        <f t="shared" si="4"/>
        <v>1440</v>
      </c>
      <c r="J77" s="10">
        <f t="shared" si="5"/>
        <v>0</v>
      </c>
      <c r="K77" s="11" t="s">
        <v>49</v>
      </c>
      <c r="L77" s="11" t="s">
        <v>50</v>
      </c>
      <c r="M77" s="11" t="s">
        <v>51</v>
      </c>
      <c r="N77" s="12" t="s">
        <v>95</v>
      </c>
    </row>
    <row r="78" spans="1:15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5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5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ref="I128:I191" si="6">IF(SUM(B128:F128,H128)=0,"",SUM(B128:F128,H128))</f>
        <v/>
      </c>
      <c r="J128" s="10" t="str">
        <f t="shared" ref="J128:J191" si="7">IF(I128="","",1440-I128)</f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6"/>
        <v/>
      </c>
      <c r="J134" s="10" t="str">
        <f t="shared" si="7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ref="I192:I255" si="8">IF(SUM(B192:F192,H192)=0,"",SUM(B192:F192,H192))</f>
        <v/>
      </c>
      <c r="J192" s="10" t="str">
        <f t="shared" ref="J192:J255" si="9">IF(I192="","",1440-I192)</f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8"/>
        <v/>
      </c>
      <c r="J198" s="10" t="str">
        <f t="shared" si="9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ref="I256:I319" si="10">IF(SUM(B256:F256,H256)=0,"",SUM(B256:F256,H256))</f>
        <v/>
      </c>
      <c r="J256" s="10" t="str">
        <f t="shared" ref="J256:J319" si="11">IF(I256="","",1440-I256)</f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10"/>
        <v/>
      </c>
      <c r="J262" s="10" t="str">
        <f t="shared" si="11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ref="I320:I383" si="12">IF(SUM(B320:F320,H320)=0,"",SUM(B320:F320,H320))</f>
        <v/>
      </c>
      <c r="J320" s="10" t="str">
        <f t="shared" ref="J320:J383" si="13">IF(I320="","",1440-I320)</f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2"/>
        <v/>
      </c>
      <c r="J326" s="10" t="str">
        <f t="shared" si="13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ref="I384:I395" si="14">IF(SUM(B384:F384,H384)=0,"",SUM(B384:F384,H384))</f>
        <v/>
      </c>
      <c r="J384" s="10" t="str">
        <f t="shared" ref="J384:J395" si="15">IF(I384="","",1440-I384)</f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4"/>
        <v/>
      </c>
      <c r="J385" s="10" t="str">
        <f t="shared" si="1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4"/>
        <v/>
      </c>
      <c r="J386" s="10" t="str">
        <f t="shared" si="1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4"/>
        <v/>
      </c>
      <c r="J387" s="10" t="str">
        <f t="shared" si="1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4"/>
        <v/>
      </c>
      <c r="J388" s="10" t="str">
        <f t="shared" si="1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4"/>
        <v/>
      </c>
      <c r="J389" s="10" t="str">
        <f t="shared" si="1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4"/>
        <v/>
      </c>
      <c r="J390" s="10" t="str">
        <f t="shared" si="15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2026-10-28T13:58:35Z</dcterms:modified>
  <dc:language>en-US</dc:language>
</cp:coreProperties>
</file>